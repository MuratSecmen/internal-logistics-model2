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results\4 parça\Case 2-shift duration\"/>
    </mc:Choice>
  </mc:AlternateContent>
  <bookViews>
    <workbookView xWindow="0" yWindow="0" windowWidth="23040" windowHeight="9396"/>
  </bookViews>
  <sheets>
    <sheet name="optimization_results" sheetId="1" r:id="rId1"/>
    <sheet name="x_ijkr" sheetId="2" r:id="rId2"/>
    <sheet name="f_pkr" sheetId="3" r:id="rId3"/>
    <sheet name="u_jkr" sheetId="4" r:id="rId4"/>
    <sheet name="z_kr" sheetId="5" r:id="rId5"/>
    <sheet name="w_p" sheetId="6" r:id="rId6"/>
    <sheet name="ta" sheetId="7" r:id="rId7"/>
    <sheet name="td" sheetId="8" r:id="rId8"/>
    <sheet name="ts" sheetId="9" r:id="rId9"/>
    <sheet name="y_jkr" sheetId="10" r:id="rId10"/>
    <sheet name="delta_jkr" sheetId="11" r:id="rId11"/>
    <sheet name="itinerary" sheetId="12" r:id="rId12"/>
  </sheets>
  <calcPr calcId="152511"/>
</workbook>
</file>

<file path=xl/calcChain.xml><?xml version="1.0" encoding="utf-8"?>
<calcChain xmlns="http://schemas.openxmlformats.org/spreadsheetml/2006/main">
  <c r="E4" i="1" l="1"/>
  <c r="D4" i="1"/>
  <c r="E3" i="1"/>
  <c r="D3" i="1"/>
  <c r="E2" i="1"/>
  <c r="D2" i="1"/>
</calcChain>
</file>

<file path=xl/sharedStrings.xml><?xml version="1.0" encoding="utf-8"?>
<sst xmlns="http://schemas.openxmlformats.org/spreadsheetml/2006/main" count="581" uniqueCount="104">
  <si>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</si>
  <si>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</si>
  <si>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</si>
  <si>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</si>
  <si>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</si>
  <si>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</si>
  <si>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</si>
  <si>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</si>
  <si>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</si>
  <si>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total_route_duration_F1</t>
  </si>
  <si>
    <t>legacy_epsilon_wait_upper_not_active</t>
  </si>
  <si>
    <t>return_limit_per_vehicle</t>
  </si>
  <si>
    <t>f1_weight_in_objective</t>
  </si>
  <si>
    <t>return_limit_slack_min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</si>
  <si>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</si>
  <si>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</si>
  <si>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</si>
  <si>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</si>
  <si>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</si>
  <si>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</si>
  <si>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</si>
  <si>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</si>
  <si>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</si>
  <si>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</si>
  <si>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</si>
  <si>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</si>
  <si>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min_waiting_plus_0.001_times_F1</t>
  </si>
  <si>
    <t>REMOVED</t>
  </si>
  <si>
    <t>var</t>
  </si>
  <si>
    <t>i</t>
  </si>
  <si>
    <t>j</t>
  </si>
  <si>
    <t>k</t>
  </si>
  <si>
    <t>r</t>
  </si>
  <si>
    <t>val</t>
  </si>
  <si>
    <t>x</t>
  </si>
  <si>
    <t>h</t>
  </si>
  <si>
    <t>N1</t>
  </si>
  <si>
    <t>V1</t>
  </si>
  <si>
    <t>N3</t>
  </si>
  <si>
    <t>N2</t>
  </si>
  <si>
    <t>N4</t>
  </si>
  <si>
    <t>N5</t>
  </si>
  <si>
    <t>N6</t>
  </si>
  <si>
    <t>p</t>
  </si>
  <si>
    <t>f</t>
  </si>
  <si>
    <t>P1</t>
  </si>
  <si>
    <t>P2</t>
  </si>
  <si>
    <t>P3</t>
  </si>
  <si>
    <t>P4</t>
  </si>
  <si>
    <t>u</t>
  </si>
  <si>
    <t>z</t>
  </si>
  <si>
    <t>w_val</t>
  </si>
  <si>
    <t>w</t>
  </si>
  <si>
    <t>node</t>
  </si>
  <si>
    <t>time</t>
  </si>
  <si>
    <t>stamp</t>
  </si>
  <si>
    <t>ta</t>
  </si>
  <si>
    <t>08:13</t>
  </si>
  <si>
    <t>07:20</t>
  </si>
  <si>
    <t>07:45</t>
  </si>
  <si>
    <t>07:26</t>
  </si>
  <si>
    <t>07:52</t>
  </si>
  <si>
    <t>07:40</t>
  </si>
  <si>
    <t>08:07</t>
  </si>
  <si>
    <t>N7</t>
  </si>
  <si>
    <t>15:11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</si>
  <si>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</si>
  <si>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</si>
  <si>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</si>
  <si>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</si>
  <si>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</si>
  <si>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</si>
  <si>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</si>
  <si>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</si>
  <si>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</si>
  <si>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</si>
  <si>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</si>
  <si>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</si>
  <si>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</si>
  <si>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</si>
  <si>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</si>
  <si>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</si>
  <si>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</si>
  <si>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</si>
  <si>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td</t>
  </si>
  <si>
    <t>07:00</t>
  </si>
  <si>
    <t>07:22</t>
  </si>
  <si>
    <t>07:47</t>
  </si>
  <si>
    <t>07:37</t>
  </si>
  <si>
    <t>07:56</t>
  </si>
  <si>
    <t>07:42</t>
  </si>
  <si>
    <t>08:09</t>
  </si>
  <si>
    <t>ts</t>
  </si>
  <si>
    <t>07:35</t>
  </si>
  <si>
    <t>07:54</t>
  </si>
  <si>
    <t>y_val</t>
  </si>
  <si>
    <t>y</t>
  </si>
  <si>
    <t>delta_val</t>
  </si>
  <si>
    <t>delta</t>
  </si>
  <si>
    <t>ta_stamp</t>
  </si>
  <si>
    <t>td_stamp</t>
  </si>
  <si>
    <t>y_after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</si>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</sst>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optimization_results!$E$1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optimization_results!$D$2:$D$4</c:f>
              <c:numCache>
                <c:formatCode>0.00</c:formatCode>
                <c:ptCount val="3"/>
                <c:pt idx="0">
                  <c:v>67.58</c:v>
                </c:pt>
                <c:pt idx="1">
                  <c:v>70.580000000000013</c:v>
                </c:pt>
                <c:pt idx="2">
                  <c:v>76.58</c:v>
                </c:pt>
              </c:numCache>
            </c:numRef>
          </c:xVal>
          <c:yVal>
            <c:numRef>
              <c:f>optimization_results!$E$2:$E$4</c:f>
              <c:numCache>
                <c:formatCode>0.00</c:formatCode>
                <c:ptCount val="3"/>
                <c:pt idx="0">
                  <c:v>68</c:v>
                </c:pt>
                <c:pt idx="1">
                  <c:v>71</c:v>
                </c:pt>
                <c:pt idx="2">
                  <c:v>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53168"/>
        <c:axId val="195757520"/>
      </c:scatterChart>
      <c:valAx>
        <c:axId val="19575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5757520"/>
        <c:crosses val="autoZero"/>
        <c:crossBetween val="midCat"/>
      </c:valAx>
      <c:valAx>
        <c:axId val="19575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575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1988820</xdr:colOff>
      <xdr:row>7</xdr:row>
      <xdr:rowOff>102870</xdr:rowOff>
    </xdr:from>
    <xdr:to>
      <xdr:col>9</xdr:col>
      <xdr:colOff>45720</xdr:colOff>
      <xdr:row>22</xdr:row>
      <xdr:rowOff>102870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tabSelected="1" workbookViewId="0">
      <selection activeCell="D1" sqref="D1:E4"/>
    </sheetView>
  </sheetViews>
  <sheetFormatPr defaultRowHeight="14.4" x14ac:dyDescent="0.3"/>
  <cols>
    <col min="1" max="1" width="16.44140625" bestFit="1" customWidth="1"/>
    <col min="2" max="2" width="29.5546875" bestFit="1" customWidth="1"/>
    <col min="3" max="3" width="9.33203125" bestFit="1" customWidth="1"/>
    <col min="4" max="5" width="9.33203125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21.88671875" bestFit="1" customWidth="1"/>
    <col min="13" max="13" width="34.44140625" bestFit="1" customWidth="1"/>
    <col min="14" max="14" width="21.88671875" bestFit="1" customWidth="1"/>
    <col min="15" max="15" width="20.88671875" bestFit="1" customWidth="1"/>
    <col min="16" max="16" width="20.44140625" bestFit="1" customWidth="1"/>
    <col min="17" max="17" width="4.33203125" bestFit="1" customWidth="1"/>
    <col min="18" max="18" width="5.77734375" bestFit="1" customWidth="1"/>
    <col min="19" max="21" width="4.109375" bestFit="1" customWidth="1"/>
    <col min="22" max="22" width="9.44140625" bestFit="1" customWidth="1"/>
    <col min="23" max="27" width="5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">
      <c r="A2" t="s">
        <v>25</v>
      </c>
      <c r="B2" t="s">
        <v>26</v>
      </c>
      <c r="C2" s="2">
        <v>68.072999999999993</v>
      </c>
      <c r="D2" s="2">
        <f>C2-(K2*1/1000)</f>
        <v>67.58</v>
      </c>
      <c r="E2" s="2">
        <f>J2</f>
        <v>68</v>
      </c>
      <c r="F2" s="2">
        <v>68.072999999959848</v>
      </c>
      <c r="G2" s="2">
        <v>0</v>
      </c>
      <c r="H2" s="2">
        <v>2.8000116348266602E-2</v>
      </c>
      <c r="I2">
        <v>2</v>
      </c>
      <c r="J2">
        <v>68</v>
      </c>
      <c r="K2">
        <v>493</v>
      </c>
      <c r="L2">
        <v>73</v>
      </c>
      <c r="M2" t="s">
        <v>27</v>
      </c>
      <c r="N2">
        <v>9999</v>
      </c>
      <c r="O2">
        <v>1E-3</v>
      </c>
      <c r="P2">
        <v>9506</v>
      </c>
      <c r="Q2">
        <v>26</v>
      </c>
      <c r="R2">
        <v>25</v>
      </c>
      <c r="S2">
        <v>1</v>
      </c>
      <c r="T2">
        <v>1</v>
      </c>
      <c r="U2">
        <v>1</v>
      </c>
      <c r="V2">
        <v>25</v>
      </c>
      <c r="W2">
        <v>491</v>
      </c>
      <c r="X2">
        <v>480</v>
      </c>
      <c r="Y2">
        <v>465</v>
      </c>
      <c r="Z2">
        <v>20</v>
      </c>
      <c r="AA2">
        <v>20</v>
      </c>
    </row>
    <row r="3" spans="1:27" x14ac:dyDescent="0.3">
      <c r="A3" t="s">
        <v>25</v>
      </c>
      <c r="B3" t="s">
        <v>26</v>
      </c>
      <c r="C3" s="2">
        <v>71.070000000000007</v>
      </c>
      <c r="D3" s="2">
        <f t="shared" ref="D3:D4" si="0">C3-(K3*1/1000)</f>
        <v>70.580000000000013</v>
      </c>
      <c r="E3" s="2">
        <f t="shared" ref="E3:E4" si="1">J3</f>
        <v>71</v>
      </c>
      <c r="F3" s="2">
        <v>71.069999999991978</v>
      </c>
      <c r="G3" s="2">
        <v>0</v>
      </c>
      <c r="H3" s="2">
        <v>2.5000095367431641E-2</v>
      </c>
      <c r="I3">
        <v>2</v>
      </c>
      <c r="J3">
        <v>71</v>
      </c>
      <c r="K3">
        <v>490</v>
      </c>
      <c r="L3">
        <v>70</v>
      </c>
      <c r="M3" t="s">
        <v>27</v>
      </c>
      <c r="N3">
        <v>492</v>
      </c>
      <c r="O3">
        <v>1E-3</v>
      </c>
      <c r="P3">
        <v>2</v>
      </c>
      <c r="Q3">
        <v>26</v>
      </c>
      <c r="R3">
        <v>25</v>
      </c>
      <c r="S3">
        <v>1</v>
      </c>
      <c r="T3">
        <v>1</v>
      </c>
      <c r="U3">
        <v>1</v>
      </c>
      <c r="V3">
        <v>25</v>
      </c>
      <c r="W3">
        <v>491</v>
      </c>
      <c r="X3">
        <v>480</v>
      </c>
      <c r="Y3">
        <v>465</v>
      </c>
      <c r="Z3">
        <v>20</v>
      </c>
      <c r="AA3">
        <v>20</v>
      </c>
    </row>
    <row r="4" spans="1:27" x14ac:dyDescent="0.3">
      <c r="A4" t="s">
        <v>25</v>
      </c>
      <c r="B4" t="s">
        <v>26</v>
      </c>
      <c r="C4" s="2">
        <v>77.069000000000003</v>
      </c>
      <c r="D4" s="2">
        <f t="shared" si="0"/>
        <v>76.58</v>
      </c>
      <c r="E4" s="2">
        <f t="shared" si="1"/>
        <v>77</v>
      </c>
      <c r="F4" s="2">
        <v>77.068999999994503</v>
      </c>
      <c r="G4" s="2">
        <v>0</v>
      </c>
      <c r="H4" s="2">
        <v>2.9000043869018551E-2</v>
      </c>
      <c r="I4">
        <v>2</v>
      </c>
      <c r="J4">
        <v>77</v>
      </c>
      <c r="K4">
        <v>489</v>
      </c>
      <c r="L4">
        <v>69</v>
      </c>
      <c r="M4" t="s">
        <v>27</v>
      </c>
      <c r="N4">
        <v>489</v>
      </c>
      <c r="O4">
        <v>1E-3</v>
      </c>
      <c r="P4">
        <v>0</v>
      </c>
      <c r="Q4">
        <v>26</v>
      </c>
      <c r="R4">
        <v>25</v>
      </c>
      <c r="S4">
        <v>1</v>
      </c>
      <c r="T4">
        <v>1</v>
      </c>
      <c r="U4">
        <v>1</v>
      </c>
      <c r="V4">
        <v>25</v>
      </c>
      <c r="W4">
        <v>491</v>
      </c>
      <c r="X4">
        <v>480</v>
      </c>
      <c r="Y4">
        <v>465</v>
      </c>
      <c r="Z4">
        <v>20</v>
      </c>
      <c r="AA4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3">
      <c r="A2" t="s">
        <v>34</v>
      </c>
      <c r="B2" t="s">
        <v>35</v>
      </c>
      <c r="C2" t="s">
        <v>36</v>
      </c>
      <c r="D2" t="s">
        <v>37</v>
      </c>
      <c r="E2">
        <v>1</v>
      </c>
      <c r="F2">
        <v>1</v>
      </c>
    </row>
    <row r="3" spans="1:6" x14ac:dyDescent="0.3">
      <c r="A3" t="s">
        <v>34</v>
      </c>
      <c r="B3" t="s">
        <v>36</v>
      </c>
      <c r="C3" t="s">
        <v>38</v>
      </c>
      <c r="D3" t="s">
        <v>37</v>
      </c>
      <c r="E3">
        <v>1</v>
      </c>
      <c r="F3">
        <v>1</v>
      </c>
    </row>
    <row r="4" spans="1:6" x14ac:dyDescent="0.3">
      <c r="A4" t="s">
        <v>34</v>
      </c>
      <c r="B4" t="s">
        <v>39</v>
      </c>
      <c r="C4" t="s">
        <v>40</v>
      </c>
      <c r="D4" t="s">
        <v>37</v>
      </c>
      <c r="E4">
        <v>1</v>
      </c>
      <c r="F4">
        <v>1</v>
      </c>
    </row>
    <row r="5" spans="1:6" x14ac:dyDescent="0.3">
      <c r="A5" t="s">
        <v>34</v>
      </c>
      <c r="B5" t="s">
        <v>38</v>
      </c>
      <c r="C5" t="s">
        <v>41</v>
      </c>
      <c r="D5" t="s">
        <v>37</v>
      </c>
      <c r="E5">
        <v>1</v>
      </c>
      <c r="F5">
        <v>1</v>
      </c>
    </row>
    <row r="6" spans="1:6" x14ac:dyDescent="0.3">
      <c r="A6" t="s">
        <v>34</v>
      </c>
      <c r="B6" t="s">
        <v>40</v>
      </c>
      <c r="C6" t="s">
        <v>42</v>
      </c>
      <c r="D6" t="s">
        <v>37</v>
      </c>
      <c r="E6">
        <v>1</v>
      </c>
      <c r="F6">
        <v>1</v>
      </c>
    </row>
    <row r="7" spans="1:6" x14ac:dyDescent="0.3">
      <c r="A7" t="s">
        <v>34</v>
      </c>
      <c r="B7" t="s">
        <v>41</v>
      </c>
      <c r="C7" t="s">
        <v>39</v>
      </c>
      <c r="D7" t="s">
        <v>37</v>
      </c>
      <c r="E7">
        <v>1</v>
      </c>
      <c r="F7">
        <v>1</v>
      </c>
    </row>
    <row r="8" spans="1:6" x14ac:dyDescent="0.3">
      <c r="A8" t="s">
        <v>34</v>
      </c>
      <c r="B8" t="s">
        <v>42</v>
      </c>
      <c r="C8" t="s">
        <v>35</v>
      </c>
      <c r="D8" t="s">
        <v>37</v>
      </c>
      <c r="E8">
        <v>1</v>
      </c>
      <c r="F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43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44</v>
      </c>
      <c r="B2" t="s">
        <v>45</v>
      </c>
      <c r="C2" t="s">
        <v>37</v>
      </c>
      <c r="D2">
        <v>1</v>
      </c>
      <c r="E2">
        <v>1</v>
      </c>
    </row>
    <row r="3" spans="1:5" x14ac:dyDescent="0.3">
      <c r="A3" t="s">
        <v>44</v>
      </c>
      <c r="B3" t="s">
        <v>46</v>
      </c>
      <c r="C3" t="s">
        <v>37</v>
      </c>
      <c r="D3">
        <v>1</v>
      </c>
      <c r="E3">
        <v>1</v>
      </c>
    </row>
    <row r="4" spans="1:5" x14ac:dyDescent="0.3">
      <c r="A4" t="s">
        <v>44</v>
      </c>
      <c r="B4" t="s">
        <v>47</v>
      </c>
      <c r="C4" t="s">
        <v>37</v>
      </c>
      <c r="D4">
        <v>1</v>
      </c>
      <c r="E4">
        <v>1</v>
      </c>
    </row>
    <row r="5" spans="1:5" x14ac:dyDescent="0.3">
      <c r="A5" t="s">
        <v>44</v>
      </c>
      <c r="B5" t="s">
        <v>48</v>
      </c>
      <c r="C5" t="s">
        <v>37</v>
      </c>
      <c r="D5">
        <v>1</v>
      </c>
      <c r="E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30</v>
      </c>
      <c r="C1" s="1" t="s">
        <v>31</v>
      </c>
      <c r="D1" s="1" t="s">
        <v>32</v>
      </c>
      <c r="E1" s="1" t="s">
        <v>49</v>
      </c>
    </row>
    <row r="2" spans="1:5" x14ac:dyDescent="0.3">
      <c r="A2" t="s">
        <v>49</v>
      </c>
      <c r="B2" t="s">
        <v>36</v>
      </c>
      <c r="C2" t="s">
        <v>37</v>
      </c>
      <c r="D2">
        <v>1</v>
      </c>
      <c r="E2">
        <v>1</v>
      </c>
    </row>
    <row r="3" spans="1:5" x14ac:dyDescent="0.3">
      <c r="A3" t="s">
        <v>49</v>
      </c>
      <c r="B3" t="s">
        <v>39</v>
      </c>
      <c r="C3" t="s">
        <v>37</v>
      </c>
      <c r="D3">
        <v>1</v>
      </c>
      <c r="E3">
        <v>4</v>
      </c>
    </row>
    <row r="4" spans="1:5" x14ac:dyDescent="0.3">
      <c r="A4" t="s">
        <v>49</v>
      </c>
      <c r="B4" t="s">
        <v>38</v>
      </c>
      <c r="C4" t="s">
        <v>37</v>
      </c>
      <c r="D4">
        <v>1</v>
      </c>
      <c r="E4">
        <v>2</v>
      </c>
    </row>
    <row r="5" spans="1:5" x14ac:dyDescent="0.3">
      <c r="A5" t="s">
        <v>49</v>
      </c>
      <c r="B5" t="s">
        <v>40</v>
      </c>
      <c r="C5" t="s">
        <v>37</v>
      </c>
      <c r="D5">
        <v>1</v>
      </c>
      <c r="E5">
        <v>5</v>
      </c>
    </row>
    <row r="6" spans="1:5" x14ac:dyDescent="0.3">
      <c r="A6" t="s">
        <v>49</v>
      </c>
      <c r="B6" t="s">
        <v>41</v>
      </c>
      <c r="C6" t="s">
        <v>37</v>
      </c>
      <c r="D6">
        <v>1</v>
      </c>
      <c r="E6">
        <v>3</v>
      </c>
    </row>
    <row r="7" spans="1:5" x14ac:dyDescent="0.3">
      <c r="A7" t="s">
        <v>49</v>
      </c>
      <c r="B7" t="s">
        <v>42</v>
      </c>
      <c r="C7" t="s">
        <v>37</v>
      </c>
      <c r="D7">
        <v>1</v>
      </c>
      <c r="E7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4" x14ac:dyDescent="0.3"/>
  <sheetData>
    <row r="1" spans="1:4" x14ac:dyDescent="0.3">
      <c r="A1" s="1" t="s">
        <v>28</v>
      </c>
      <c r="B1" s="1" t="s">
        <v>31</v>
      </c>
      <c r="C1" s="1" t="s">
        <v>32</v>
      </c>
      <c r="D1" s="1" t="s">
        <v>50</v>
      </c>
    </row>
    <row r="2" spans="1:4" x14ac:dyDescent="0.3">
      <c r="A2" t="s">
        <v>50</v>
      </c>
      <c r="B2" t="s">
        <v>37</v>
      </c>
      <c r="C2">
        <v>1</v>
      </c>
      <c r="D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3"/>
  <sheetData>
    <row r="1" spans="1:3" x14ac:dyDescent="0.3">
      <c r="A1" s="1" t="s">
        <v>28</v>
      </c>
      <c r="B1" s="1" t="s">
        <v>43</v>
      </c>
      <c r="C1" s="1" t="s">
        <v>51</v>
      </c>
    </row>
    <row r="2" spans="1:3" x14ac:dyDescent="0.3">
      <c r="A2" t="s">
        <v>52</v>
      </c>
      <c r="B2" t="s">
        <v>45</v>
      </c>
      <c r="C2">
        <v>8</v>
      </c>
    </row>
    <row r="3" spans="1:3" x14ac:dyDescent="0.3">
      <c r="A3" t="s">
        <v>52</v>
      </c>
      <c r="B3" t="s">
        <v>46</v>
      </c>
      <c r="C3">
        <v>7</v>
      </c>
    </row>
    <row r="4" spans="1:3" x14ac:dyDescent="0.3">
      <c r="A4" t="s">
        <v>52</v>
      </c>
      <c r="B4" t="s">
        <v>47</v>
      </c>
      <c r="C4">
        <v>29</v>
      </c>
    </row>
    <row r="5" spans="1:3" x14ac:dyDescent="0.3">
      <c r="A5" t="s">
        <v>52</v>
      </c>
      <c r="B5" t="s">
        <v>48</v>
      </c>
      <c r="C5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53</v>
      </c>
      <c r="C1" s="1" t="s">
        <v>31</v>
      </c>
      <c r="D1" s="1" t="s">
        <v>32</v>
      </c>
      <c r="E1" s="1" t="s">
        <v>54</v>
      </c>
      <c r="F1" s="1" t="s">
        <v>55</v>
      </c>
    </row>
    <row r="2" spans="1:6" x14ac:dyDescent="0.3">
      <c r="A2" t="s">
        <v>56</v>
      </c>
      <c r="B2" t="s">
        <v>35</v>
      </c>
      <c r="C2" t="s">
        <v>37</v>
      </c>
      <c r="D2">
        <v>1</v>
      </c>
      <c r="E2">
        <v>493</v>
      </c>
      <c r="F2" t="s">
        <v>57</v>
      </c>
    </row>
    <row r="3" spans="1:6" x14ac:dyDescent="0.3">
      <c r="A3" t="s">
        <v>56</v>
      </c>
      <c r="B3" t="s">
        <v>36</v>
      </c>
      <c r="C3" t="s">
        <v>37</v>
      </c>
      <c r="D3">
        <v>1</v>
      </c>
      <c r="E3">
        <v>440</v>
      </c>
      <c r="F3" t="s">
        <v>58</v>
      </c>
    </row>
    <row r="4" spans="1:6" x14ac:dyDescent="0.3">
      <c r="A4" t="s">
        <v>56</v>
      </c>
      <c r="B4" t="s">
        <v>39</v>
      </c>
      <c r="C4" t="s">
        <v>37</v>
      </c>
      <c r="D4">
        <v>1</v>
      </c>
      <c r="E4">
        <v>465</v>
      </c>
      <c r="F4" t="s">
        <v>59</v>
      </c>
    </row>
    <row r="5" spans="1:6" x14ac:dyDescent="0.3">
      <c r="A5" t="s">
        <v>56</v>
      </c>
      <c r="B5" t="s">
        <v>38</v>
      </c>
      <c r="C5" t="s">
        <v>37</v>
      </c>
      <c r="D5">
        <v>1</v>
      </c>
      <c r="E5">
        <v>446</v>
      </c>
      <c r="F5" t="s">
        <v>60</v>
      </c>
    </row>
    <row r="6" spans="1:6" x14ac:dyDescent="0.3">
      <c r="A6" t="s">
        <v>56</v>
      </c>
      <c r="B6" t="s">
        <v>40</v>
      </c>
      <c r="C6" t="s">
        <v>37</v>
      </c>
      <c r="D6">
        <v>1</v>
      </c>
      <c r="E6">
        <v>472</v>
      </c>
      <c r="F6" t="s">
        <v>61</v>
      </c>
    </row>
    <row r="7" spans="1:6" x14ac:dyDescent="0.3">
      <c r="A7" t="s">
        <v>56</v>
      </c>
      <c r="B7" t="s">
        <v>41</v>
      </c>
      <c r="C7" t="s">
        <v>37</v>
      </c>
      <c r="D7">
        <v>1</v>
      </c>
      <c r="E7">
        <v>460</v>
      </c>
      <c r="F7" t="s">
        <v>62</v>
      </c>
    </row>
    <row r="8" spans="1:6" x14ac:dyDescent="0.3">
      <c r="A8" t="s">
        <v>56</v>
      </c>
      <c r="B8" t="s">
        <v>42</v>
      </c>
      <c r="C8" t="s">
        <v>37</v>
      </c>
      <c r="D8">
        <v>1</v>
      </c>
      <c r="E8">
        <v>487</v>
      </c>
      <c r="F8" t="s">
        <v>63</v>
      </c>
    </row>
    <row r="9" spans="1:6" x14ac:dyDescent="0.3">
      <c r="A9" t="s">
        <v>56</v>
      </c>
      <c r="B9" t="s">
        <v>64</v>
      </c>
      <c r="C9" t="s">
        <v>37</v>
      </c>
      <c r="D9">
        <v>1</v>
      </c>
      <c r="E9">
        <v>911</v>
      </c>
      <c r="F9" t="s">
        <v>65</v>
      </c>
    </row>
    <row r="10" spans="1:6" x14ac:dyDescent="0.3">
      <c r="A10" t="s">
        <v>56</v>
      </c>
      <c r="B10" t="s">
        <v>66</v>
      </c>
      <c r="C10" t="s">
        <v>37</v>
      </c>
      <c r="D10">
        <v>1</v>
      </c>
      <c r="E10">
        <v>911</v>
      </c>
      <c r="F10" t="s">
        <v>65</v>
      </c>
    </row>
    <row r="11" spans="1:6" x14ac:dyDescent="0.3">
      <c r="A11" t="s">
        <v>56</v>
      </c>
      <c r="B11" t="s">
        <v>67</v>
      </c>
      <c r="C11" t="s">
        <v>37</v>
      </c>
      <c r="D11">
        <v>1</v>
      </c>
      <c r="E11">
        <v>911</v>
      </c>
      <c r="F11" t="s">
        <v>65</v>
      </c>
    </row>
    <row r="12" spans="1:6" x14ac:dyDescent="0.3">
      <c r="A12" t="s">
        <v>56</v>
      </c>
      <c r="B12" t="s">
        <v>68</v>
      </c>
      <c r="C12" t="s">
        <v>37</v>
      </c>
      <c r="D12">
        <v>1</v>
      </c>
      <c r="E12">
        <v>911</v>
      </c>
      <c r="F12" t="s">
        <v>65</v>
      </c>
    </row>
    <row r="13" spans="1:6" x14ac:dyDescent="0.3">
      <c r="A13" t="s">
        <v>56</v>
      </c>
      <c r="B13" t="s">
        <v>69</v>
      </c>
      <c r="C13" t="s">
        <v>37</v>
      </c>
      <c r="D13">
        <v>1</v>
      </c>
      <c r="E13">
        <v>911</v>
      </c>
      <c r="F13" t="s">
        <v>65</v>
      </c>
    </row>
    <row r="14" spans="1:6" x14ac:dyDescent="0.3">
      <c r="A14" t="s">
        <v>56</v>
      </c>
      <c r="B14" t="s">
        <v>70</v>
      </c>
      <c r="C14" t="s">
        <v>37</v>
      </c>
      <c r="D14">
        <v>1</v>
      </c>
      <c r="E14">
        <v>911</v>
      </c>
      <c r="F14" t="s">
        <v>65</v>
      </c>
    </row>
    <row r="15" spans="1:6" x14ac:dyDescent="0.3">
      <c r="A15" t="s">
        <v>56</v>
      </c>
      <c r="B15" t="s">
        <v>71</v>
      </c>
      <c r="C15" t="s">
        <v>37</v>
      </c>
      <c r="D15">
        <v>1</v>
      </c>
      <c r="E15">
        <v>911</v>
      </c>
      <c r="F15" t="s">
        <v>65</v>
      </c>
    </row>
    <row r="16" spans="1:6" x14ac:dyDescent="0.3">
      <c r="A16" t="s">
        <v>56</v>
      </c>
      <c r="B16" t="s">
        <v>72</v>
      </c>
      <c r="C16" t="s">
        <v>37</v>
      </c>
      <c r="D16">
        <v>1</v>
      </c>
      <c r="E16">
        <v>911</v>
      </c>
      <c r="F16" t="s">
        <v>65</v>
      </c>
    </row>
    <row r="17" spans="1:6" x14ac:dyDescent="0.3">
      <c r="A17" t="s">
        <v>56</v>
      </c>
      <c r="B17" t="s">
        <v>73</v>
      </c>
      <c r="C17" t="s">
        <v>37</v>
      </c>
      <c r="D17">
        <v>1</v>
      </c>
      <c r="E17">
        <v>911</v>
      </c>
      <c r="F17" t="s">
        <v>65</v>
      </c>
    </row>
    <row r="18" spans="1:6" x14ac:dyDescent="0.3">
      <c r="A18" t="s">
        <v>56</v>
      </c>
      <c r="B18" t="s">
        <v>74</v>
      </c>
      <c r="C18" t="s">
        <v>37</v>
      </c>
      <c r="D18">
        <v>1</v>
      </c>
      <c r="E18">
        <v>911</v>
      </c>
      <c r="F18" t="s">
        <v>65</v>
      </c>
    </row>
    <row r="19" spans="1:6" x14ac:dyDescent="0.3">
      <c r="A19" t="s">
        <v>56</v>
      </c>
      <c r="B19" t="s">
        <v>75</v>
      </c>
      <c r="C19" t="s">
        <v>37</v>
      </c>
      <c r="D19">
        <v>1</v>
      </c>
      <c r="E19">
        <v>911</v>
      </c>
      <c r="F19" t="s">
        <v>65</v>
      </c>
    </row>
    <row r="20" spans="1:6" x14ac:dyDescent="0.3">
      <c r="A20" t="s">
        <v>56</v>
      </c>
      <c r="B20" t="s">
        <v>76</v>
      </c>
      <c r="C20" t="s">
        <v>37</v>
      </c>
      <c r="D20">
        <v>1</v>
      </c>
      <c r="E20">
        <v>911</v>
      </c>
      <c r="F20" t="s">
        <v>65</v>
      </c>
    </row>
    <row r="21" spans="1:6" x14ac:dyDescent="0.3">
      <c r="A21" t="s">
        <v>56</v>
      </c>
      <c r="B21" t="s">
        <v>77</v>
      </c>
      <c r="C21" t="s">
        <v>37</v>
      </c>
      <c r="D21">
        <v>1</v>
      </c>
      <c r="E21">
        <v>911</v>
      </c>
      <c r="F21" t="s">
        <v>65</v>
      </c>
    </row>
    <row r="22" spans="1:6" x14ac:dyDescent="0.3">
      <c r="A22" t="s">
        <v>56</v>
      </c>
      <c r="B22" t="s">
        <v>78</v>
      </c>
      <c r="C22" t="s">
        <v>37</v>
      </c>
      <c r="D22">
        <v>1</v>
      </c>
      <c r="E22">
        <v>911</v>
      </c>
      <c r="F22" t="s">
        <v>65</v>
      </c>
    </row>
    <row r="23" spans="1:6" x14ac:dyDescent="0.3">
      <c r="A23" t="s">
        <v>56</v>
      </c>
      <c r="B23" t="s">
        <v>79</v>
      </c>
      <c r="C23" t="s">
        <v>37</v>
      </c>
      <c r="D23">
        <v>1</v>
      </c>
      <c r="E23">
        <v>911</v>
      </c>
      <c r="F23" t="s">
        <v>65</v>
      </c>
    </row>
    <row r="24" spans="1:6" x14ac:dyDescent="0.3">
      <c r="A24" t="s">
        <v>56</v>
      </c>
      <c r="B24" t="s">
        <v>80</v>
      </c>
      <c r="C24" t="s">
        <v>37</v>
      </c>
      <c r="D24">
        <v>1</v>
      </c>
      <c r="E24">
        <v>911</v>
      </c>
      <c r="F24" t="s">
        <v>65</v>
      </c>
    </row>
    <row r="25" spans="1:6" x14ac:dyDescent="0.3">
      <c r="A25" t="s">
        <v>56</v>
      </c>
      <c r="B25" t="s">
        <v>81</v>
      </c>
      <c r="C25" t="s">
        <v>37</v>
      </c>
      <c r="D25">
        <v>1</v>
      </c>
      <c r="E25">
        <v>911</v>
      </c>
      <c r="F25" t="s">
        <v>65</v>
      </c>
    </row>
    <row r="26" spans="1:6" x14ac:dyDescent="0.3">
      <c r="A26" t="s">
        <v>56</v>
      </c>
      <c r="B26" t="s">
        <v>82</v>
      </c>
      <c r="C26" t="s">
        <v>37</v>
      </c>
      <c r="D26">
        <v>1</v>
      </c>
      <c r="E26">
        <v>911</v>
      </c>
      <c r="F26" t="s">
        <v>65</v>
      </c>
    </row>
    <row r="27" spans="1:6" x14ac:dyDescent="0.3">
      <c r="A27" t="s">
        <v>56</v>
      </c>
      <c r="B27" t="s">
        <v>83</v>
      </c>
      <c r="C27" t="s">
        <v>37</v>
      </c>
      <c r="D27">
        <v>1</v>
      </c>
      <c r="E27">
        <v>911</v>
      </c>
      <c r="F27" t="s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53</v>
      </c>
      <c r="C1" s="1" t="s">
        <v>31</v>
      </c>
      <c r="D1" s="1" t="s">
        <v>32</v>
      </c>
      <c r="E1" s="1" t="s">
        <v>54</v>
      </c>
      <c r="F1" s="1" t="s">
        <v>55</v>
      </c>
    </row>
    <row r="2" spans="1:6" x14ac:dyDescent="0.3">
      <c r="A2" t="s">
        <v>84</v>
      </c>
      <c r="B2" t="s">
        <v>35</v>
      </c>
      <c r="C2" t="s">
        <v>37</v>
      </c>
      <c r="D2">
        <v>1</v>
      </c>
      <c r="E2">
        <v>420</v>
      </c>
      <c r="F2" t="s">
        <v>85</v>
      </c>
    </row>
    <row r="3" spans="1:6" x14ac:dyDescent="0.3">
      <c r="A3" t="s">
        <v>84</v>
      </c>
      <c r="B3" t="s">
        <v>36</v>
      </c>
      <c r="C3" t="s">
        <v>37</v>
      </c>
      <c r="D3">
        <v>1</v>
      </c>
      <c r="E3">
        <v>442</v>
      </c>
      <c r="F3" t="s">
        <v>86</v>
      </c>
    </row>
    <row r="4" spans="1:6" x14ac:dyDescent="0.3">
      <c r="A4" t="s">
        <v>84</v>
      </c>
      <c r="B4" t="s">
        <v>39</v>
      </c>
      <c r="C4" t="s">
        <v>37</v>
      </c>
      <c r="D4">
        <v>1</v>
      </c>
      <c r="E4">
        <v>467</v>
      </c>
      <c r="F4" t="s">
        <v>87</v>
      </c>
    </row>
    <row r="5" spans="1:6" x14ac:dyDescent="0.3">
      <c r="A5" t="s">
        <v>84</v>
      </c>
      <c r="B5" t="s">
        <v>38</v>
      </c>
      <c r="C5" t="s">
        <v>37</v>
      </c>
      <c r="D5">
        <v>1</v>
      </c>
      <c r="E5">
        <v>457</v>
      </c>
      <c r="F5" t="s">
        <v>88</v>
      </c>
    </row>
    <row r="6" spans="1:6" x14ac:dyDescent="0.3">
      <c r="A6" t="s">
        <v>84</v>
      </c>
      <c r="B6" t="s">
        <v>40</v>
      </c>
      <c r="C6" t="s">
        <v>37</v>
      </c>
      <c r="D6">
        <v>1</v>
      </c>
      <c r="E6">
        <v>476</v>
      </c>
      <c r="F6" t="s">
        <v>89</v>
      </c>
    </row>
    <row r="7" spans="1:6" x14ac:dyDescent="0.3">
      <c r="A7" t="s">
        <v>84</v>
      </c>
      <c r="B7" t="s">
        <v>41</v>
      </c>
      <c r="C7" t="s">
        <v>37</v>
      </c>
      <c r="D7">
        <v>1</v>
      </c>
      <c r="E7">
        <v>462</v>
      </c>
      <c r="F7" t="s">
        <v>90</v>
      </c>
    </row>
    <row r="8" spans="1:6" x14ac:dyDescent="0.3">
      <c r="A8" t="s">
        <v>84</v>
      </c>
      <c r="B8" t="s">
        <v>42</v>
      </c>
      <c r="C8" t="s">
        <v>37</v>
      </c>
      <c r="D8">
        <v>1</v>
      </c>
      <c r="E8">
        <v>489</v>
      </c>
      <c r="F8" t="s">
        <v>91</v>
      </c>
    </row>
    <row r="9" spans="1:6" x14ac:dyDescent="0.3">
      <c r="A9" t="s">
        <v>84</v>
      </c>
      <c r="B9" t="s">
        <v>64</v>
      </c>
      <c r="C9" t="s">
        <v>37</v>
      </c>
      <c r="D9">
        <v>1</v>
      </c>
      <c r="E9">
        <v>911</v>
      </c>
      <c r="F9" t="s">
        <v>65</v>
      </c>
    </row>
    <row r="10" spans="1:6" x14ac:dyDescent="0.3">
      <c r="A10" t="s">
        <v>84</v>
      </c>
      <c r="B10" t="s">
        <v>66</v>
      </c>
      <c r="C10" t="s">
        <v>37</v>
      </c>
      <c r="D10">
        <v>1</v>
      </c>
      <c r="E10">
        <v>911</v>
      </c>
      <c r="F10" t="s">
        <v>65</v>
      </c>
    </row>
    <row r="11" spans="1:6" x14ac:dyDescent="0.3">
      <c r="A11" t="s">
        <v>84</v>
      </c>
      <c r="B11" t="s">
        <v>67</v>
      </c>
      <c r="C11" t="s">
        <v>37</v>
      </c>
      <c r="D11">
        <v>1</v>
      </c>
      <c r="E11">
        <v>911</v>
      </c>
      <c r="F11" t="s">
        <v>65</v>
      </c>
    </row>
    <row r="12" spans="1:6" x14ac:dyDescent="0.3">
      <c r="A12" t="s">
        <v>84</v>
      </c>
      <c r="B12" t="s">
        <v>68</v>
      </c>
      <c r="C12" t="s">
        <v>37</v>
      </c>
      <c r="D12">
        <v>1</v>
      </c>
      <c r="E12">
        <v>911</v>
      </c>
      <c r="F12" t="s">
        <v>65</v>
      </c>
    </row>
    <row r="13" spans="1:6" x14ac:dyDescent="0.3">
      <c r="A13" t="s">
        <v>84</v>
      </c>
      <c r="B13" t="s">
        <v>69</v>
      </c>
      <c r="C13" t="s">
        <v>37</v>
      </c>
      <c r="D13">
        <v>1</v>
      </c>
      <c r="E13">
        <v>911</v>
      </c>
      <c r="F13" t="s">
        <v>65</v>
      </c>
    </row>
    <row r="14" spans="1:6" x14ac:dyDescent="0.3">
      <c r="A14" t="s">
        <v>84</v>
      </c>
      <c r="B14" t="s">
        <v>70</v>
      </c>
      <c r="C14" t="s">
        <v>37</v>
      </c>
      <c r="D14">
        <v>1</v>
      </c>
      <c r="E14">
        <v>911</v>
      </c>
      <c r="F14" t="s">
        <v>65</v>
      </c>
    </row>
    <row r="15" spans="1:6" x14ac:dyDescent="0.3">
      <c r="A15" t="s">
        <v>84</v>
      </c>
      <c r="B15" t="s">
        <v>71</v>
      </c>
      <c r="C15" t="s">
        <v>37</v>
      </c>
      <c r="D15">
        <v>1</v>
      </c>
      <c r="E15">
        <v>911</v>
      </c>
      <c r="F15" t="s">
        <v>65</v>
      </c>
    </row>
    <row r="16" spans="1:6" x14ac:dyDescent="0.3">
      <c r="A16" t="s">
        <v>84</v>
      </c>
      <c r="B16" t="s">
        <v>72</v>
      </c>
      <c r="C16" t="s">
        <v>37</v>
      </c>
      <c r="D16">
        <v>1</v>
      </c>
      <c r="E16">
        <v>911</v>
      </c>
      <c r="F16" t="s">
        <v>65</v>
      </c>
    </row>
    <row r="17" spans="1:6" x14ac:dyDescent="0.3">
      <c r="A17" t="s">
        <v>84</v>
      </c>
      <c r="B17" t="s">
        <v>73</v>
      </c>
      <c r="C17" t="s">
        <v>37</v>
      </c>
      <c r="D17">
        <v>1</v>
      </c>
      <c r="E17">
        <v>911</v>
      </c>
      <c r="F17" t="s">
        <v>65</v>
      </c>
    </row>
    <row r="18" spans="1:6" x14ac:dyDescent="0.3">
      <c r="A18" t="s">
        <v>84</v>
      </c>
      <c r="B18" t="s">
        <v>74</v>
      </c>
      <c r="C18" t="s">
        <v>37</v>
      </c>
      <c r="D18">
        <v>1</v>
      </c>
      <c r="E18">
        <v>911</v>
      </c>
      <c r="F18" t="s">
        <v>65</v>
      </c>
    </row>
    <row r="19" spans="1:6" x14ac:dyDescent="0.3">
      <c r="A19" t="s">
        <v>84</v>
      </c>
      <c r="B19" t="s">
        <v>75</v>
      </c>
      <c r="C19" t="s">
        <v>37</v>
      </c>
      <c r="D19">
        <v>1</v>
      </c>
      <c r="E19">
        <v>911</v>
      </c>
      <c r="F19" t="s">
        <v>65</v>
      </c>
    </row>
    <row r="20" spans="1:6" x14ac:dyDescent="0.3">
      <c r="A20" t="s">
        <v>84</v>
      </c>
      <c r="B20" t="s">
        <v>76</v>
      </c>
      <c r="C20" t="s">
        <v>37</v>
      </c>
      <c r="D20">
        <v>1</v>
      </c>
      <c r="E20">
        <v>911</v>
      </c>
      <c r="F20" t="s">
        <v>65</v>
      </c>
    </row>
    <row r="21" spans="1:6" x14ac:dyDescent="0.3">
      <c r="A21" t="s">
        <v>84</v>
      </c>
      <c r="B21" t="s">
        <v>77</v>
      </c>
      <c r="C21" t="s">
        <v>37</v>
      </c>
      <c r="D21">
        <v>1</v>
      </c>
      <c r="E21">
        <v>911</v>
      </c>
      <c r="F21" t="s">
        <v>65</v>
      </c>
    </row>
    <row r="22" spans="1:6" x14ac:dyDescent="0.3">
      <c r="A22" t="s">
        <v>84</v>
      </c>
      <c r="B22" t="s">
        <v>78</v>
      </c>
      <c r="C22" t="s">
        <v>37</v>
      </c>
      <c r="D22">
        <v>1</v>
      </c>
      <c r="E22">
        <v>911</v>
      </c>
      <c r="F22" t="s">
        <v>65</v>
      </c>
    </row>
    <row r="23" spans="1:6" x14ac:dyDescent="0.3">
      <c r="A23" t="s">
        <v>84</v>
      </c>
      <c r="B23" t="s">
        <v>79</v>
      </c>
      <c r="C23" t="s">
        <v>37</v>
      </c>
      <c r="D23">
        <v>1</v>
      </c>
      <c r="E23">
        <v>911</v>
      </c>
      <c r="F23" t="s">
        <v>65</v>
      </c>
    </row>
    <row r="24" spans="1:6" x14ac:dyDescent="0.3">
      <c r="A24" t="s">
        <v>84</v>
      </c>
      <c r="B24" t="s">
        <v>80</v>
      </c>
      <c r="C24" t="s">
        <v>37</v>
      </c>
      <c r="D24">
        <v>1</v>
      </c>
      <c r="E24">
        <v>911</v>
      </c>
      <c r="F24" t="s">
        <v>65</v>
      </c>
    </row>
    <row r="25" spans="1:6" x14ac:dyDescent="0.3">
      <c r="A25" t="s">
        <v>84</v>
      </c>
      <c r="B25" t="s">
        <v>81</v>
      </c>
      <c r="C25" t="s">
        <v>37</v>
      </c>
      <c r="D25">
        <v>1</v>
      </c>
      <c r="E25">
        <v>911</v>
      </c>
      <c r="F25" t="s">
        <v>65</v>
      </c>
    </row>
    <row r="26" spans="1:6" x14ac:dyDescent="0.3">
      <c r="A26" t="s">
        <v>84</v>
      </c>
      <c r="B26" t="s">
        <v>82</v>
      </c>
      <c r="C26" t="s">
        <v>37</v>
      </c>
      <c r="D26">
        <v>1</v>
      </c>
      <c r="E26">
        <v>911</v>
      </c>
      <c r="F26" t="s">
        <v>65</v>
      </c>
    </row>
    <row r="27" spans="1:6" x14ac:dyDescent="0.3">
      <c r="A27" t="s">
        <v>84</v>
      </c>
      <c r="B27" t="s">
        <v>83</v>
      </c>
      <c r="C27" t="s">
        <v>37</v>
      </c>
      <c r="D27">
        <v>1</v>
      </c>
      <c r="E27">
        <v>911</v>
      </c>
      <c r="F27" t="s">
        <v>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53</v>
      </c>
      <c r="C1" s="1" t="s">
        <v>31</v>
      </c>
      <c r="D1" s="1" t="s">
        <v>32</v>
      </c>
      <c r="E1" s="1" t="s">
        <v>54</v>
      </c>
      <c r="F1" s="1" t="s">
        <v>55</v>
      </c>
    </row>
    <row r="2" spans="1:6" x14ac:dyDescent="0.3">
      <c r="A2" t="s">
        <v>92</v>
      </c>
      <c r="B2" t="s">
        <v>36</v>
      </c>
      <c r="C2" t="s">
        <v>37</v>
      </c>
      <c r="D2">
        <v>1</v>
      </c>
      <c r="E2">
        <v>440</v>
      </c>
      <c r="F2" t="s">
        <v>58</v>
      </c>
    </row>
    <row r="3" spans="1:6" x14ac:dyDescent="0.3">
      <c r="A3" t="s">
        <v>92</v>
      </c>
      <c r="B3" t="s">
        <v>39</v>
      </c>
      <c r="C3" t="s">
        <v>37</v>
      </c>
      <c r="D3">
        <v>1</v>
      </c>
      <c r="E3">
        <v>465</v>
      </c>
      <c r="F3" t="s">
        <v>59</v>
      </c>
    </row>
    <row r="4" spans="1:6" x14ac:dyDescent="0.3">
      <c r="A4" t="s">
        <v>92</v>
      </c>
      <c r="B4" t="s">
        <v>38</v>
      </c>
      <c r="C4" t="s">
        <v>37</v>
      </c>
      <c r="D4">
        <v>1</v>
      </c>
      <c r="E4">
        <v>455</v>
      </c>
      <c r="F4" t="s">
        <v>93</v>
      </c>
    </row>
    <row r="5" spans="1:6" x14ac:dyDescent="0.3">
      <c r="A5" t="s">
        <v>92</v>
      </c>
      <c r="B5" t="s">
        <v>40</v>
      </c>
      <c r="C5" t="s">
        <v>37</v>
      </c>
      <c r="D5">
        <v>1</v>
      </c>
      <c r="E5">
        <v>474</v>
      </c>
      <c r="F5" t="s">
        <v>94</v>
      </c>
    </row>
    <row r="6" spans="1:6" x14ac:dyDescent="0.3">
      <c r="A6" t="s">
        <v>92</v>
      </c>
      <c r="B6" t="s">
        <v>41</v>
      </c>
      <c r="C6" t="s">
        <v>37</v>
      </c>
      <c r="D6">
        <v>1</v>
      </c>
      <c r="E6">
        <v>462</v>
      </c>
      <c r="F6" t="s">
        <v>90</v>
      </c>
    </row>
    <row r="7" spans="1:6" x14ac:dyDescent="0.3">
      <c r="A7" t="s">
        <v>92</v>
      </c>
      <c r="B7" t="s">
        <v>42</v>
      </c>
      <c r="C7" t="s">
        <v>37</v>
      </c>
      <c r="D7">
        <v>1</v>
      </c>
      <c r="E7">
        <v>489</v>
      </c>
      <c r="F7" t="s">
        <v>91</v>
      </c>
    </row>
    <row r="8" spans="1:6" x14ac:dyDescent="0.3">
      <c r="A8" t="s">
        <v>92</v>
      </c>
      <c r="B8" t="s">
        <v>64</v>
      </c>
      <c r="C8" t="s">
        <v>37</v>
      </c>
      <c r="D8">
        <v>1</v>
      </c>
      <c r="E8">
        <v>911</v>
      </c>
      <c r="F8" t="s">
        <v>65</v>
      </c>
    </row>
    <row r="9" spans="1:6" x14ac:dyDescent="0.3">
      <c r="A9" t="s">
        <v>92</v>
      </c>
      <c r="B9" t="s">
        <v>66</v>
      </c>
      <c r="C9" t="s">
        <v>37</v>
      </c>
      <c r="D9">
        <v>1</v>
      </c>
      <c r="E9">
        <v>911</v>
      </c>
      <c r="F9" t="s">
        <v>65</v>
      </c>
    </row>
    <row r="10" spans="1:6" x14ac:dyDescent="0.3">
      <c r="A10" t="s">
        <v>92</v>
      </c>
      <c r="B10" t="s">
        <v>67</v>
      </c>
      <c r="C10" t="s">
        <v>37</v>
      </c>
      <c r="D10">
        <v>1</v>
      </c>
      <c r="E10">
        <v>911</v>
      </c>
      <c r="F10" t="s">
        <v>65</v>
      </c>
    </row>
    <row r="11" spans="1:6" x14ac:dyDescent="0.3">
      <c r="A11" t="s">
        <v>92</v>
      </c>
      <c r="B11" t="s">
        <v>68</v>
      </c>
      <c r="C11" t="s">
        <v>37</v>
      </c>
      <c r="D11">
        <v>1</v>
      </c>
      <c r="E11">
        <v>911</v>
      </c>
      <c r="F11" t="s">
        <v>65</v>
      </c>
    </row>
    <row r="12" spans="1:6" x14ac:dyDescent="0.3">
      <c r="A12" t="s">
        <v>92</v>
      </c>
      <c r="B12" t="s">
        <v>69</v>
      </c>
      <c r="C12" t="s">
        <v>37</v>
      </c>
      <c r="D12">
        <v>1</v>
      </c>
      <c r="E12">
        <v>911</v>
      </c>
      <c r="F12" t="s">
        <v>65</v>
      </c>
    </row>
    <row r="13" spans="1:6" x14ac:dyDescent="0.3">
      <c r="A13" t="s">
        <v>92</v>
      </c>
      <c r="B13" t="s">
        <v>70</v>
      </c>
      <c r="C13" t="s">
        <v>37</v>
      </c>
      <c r="D13">
        <v>1</v>
      </c>
      <c r="E13">
        <v>911</v>
      </c>
      <c r="F13" t="s">
        <v>65</v>
      </c>
    </row>
    <row r="14" spans="1:6" x14ac:dyDescent="0.3">
      <c r="A14" t="s">
        <v>92</v>
      </c>
      <c r="B14" t="s">
        <v>71</v>
      </c>
      <c r="C14" t="s">
        <v>37</v>
      </c>
      <c r="D14">
        <v>1</v>
      </c>
      <c r="E14">
        <v>911</v>
      </c>
      <c r="F14" t="s">
        <v>65</v>
      </c>
    </row>
    <row r="15" spans="1:6" x14ac:dyDescent="0.3">
      <c r="A15" t="s">
        <v>92</v>
      </c>
      <c r="B15" t="s">
        <v>72</v>
      </c>
      <c r="C15" t="s">
        <v>37</v>
      </c>
      <c r="D15">
        <v>1</v>
      </c>
      <c r="E15">
        <v>911</v>
      </c>
      <c r="F15" t="s">
        <v>65</v>
      </c>
    </row>
    <row r="16" spans="1:6" x14ac:dyDescent="0.3">
      <c r="A16" t="s">
        <v>92</v>
      </c>
      <c r="B16" t="s">
        <v>73</v>
      </c>
      <c r="C16" t="s">
        <v>37</v>
      </c>
      <c r="D16">
        <v>1</v>
      </c>
      <c r="E16">
        <v>911</v>
      </c>
      <c r="F16" t="s">
        <v>65</v>
      </c>
    </row>
    <row r="17" spans="1:6" x14ac:dyDescent="0.3">
      <c r="A17" t="s">
        <v>92</v>
      </c>
      <c r="B17" t="s">
        <v>74</v>
      </c>
      <c r="C17" t="s">
        <v>37</v>
      </c>
      <c r="D17">
        <v>1</v>
      </c>
      <c r="E17">
        <v>911</v>
      </c>
      <c r="F17" t="s">
        <v>65</v>
      </c>
    </row>
    <row r="18" spans="1:6" x14ac:dyDescent="0.3">
      <c r="A18" t="s">
        <v>92</v>
      </c>
      <c r="B18" t="s">
        <v>75</v>
      </c>
      <c r="C18" t="s">
        <v>37</v>
      </c>
      <c r="D18">
        <v>1</v>
      </c>
      <c r="E18">
        <v>911</v>
      </c>
      <c r="F18" t="s">
        <v>65</v>
      </c>
    </row>
    <row r="19" spans="1:6" x14ac:dyDescent="0.3">
      <c r="A19" t="s">
        <v>92</v>
      </c>
      <c r="B19" t="s">
        <v>76</v>
      </c>
      <c r="C19" t="s">
        <v>37</v>
      </c>
      <c r="D19">
        <v>1</v>
      </c>
      <c r="E19">
        <v>911</v>
      </c>
      <c r="F19" t="s">
        <v>65</v>
      </c>
    </row>
    <row r="20" spans="1:6" x14ac:dyDescent="0.3">
      <c r="A20" t="s">
        <v>92</v>
      </c>
      <c r="B20" t="s">
        <v>77</v>
      </c>
      <c r="C20" t="s">
        <v>37</v>
      </c>
      <c r="D20">
        <v>1</v>
      </c>
      <c r="E20">
        <v>911</v>
      </c>
      <c r="F20" t="s">
        <v>65</v>
      </c>
    </row>
    <row r="21" spans="1:6" x14ac:dyDescent="0.3">
      <c r="A21" t="s">
        <v>92</v>
      </c>
      <c r="B21" t="s">
        <v>78</v>
      </c>
      <c r="C21" t="s">
        <v>37</v>
      </c>
      <c r="D21">
        <v>1</v>
      </c>
      <c r="E21">
        <v>911</v>
      </c>
      <c r="F21" t="s">
        <v>65</v>
      </c>
    </row>
    <row r="22" spans="1:6" x14ac:dyDescent="0.3">
      <c r="A22" t="s">
        <v>92</v>
      </c>
      <c r="B22" t="s">
        <v>79</v>
      </c>
      <c r="C22" t="s">
        <v>37</v>
      </c>
      <c r="D22">
        <v>1</v>
      </c>
      <c r="E22">
        <v>911</v>
      </c>
      <c r="F22" t="s">
        <v>65</v>
      </c>
    </row>
    <row r="23" spans="1:6" x14ac:dyDescent="0.3">
      <c r="A23" t="s">
        <v>92</v>
      </c>
      <c r="B23" t="s">
        <v>80</v>
      </c>
      <c r="C23" t="s">
        <v>37</v>
      </c>
      <c r="D23">
        <v>1</v>
      </c>
      <c r="E23">
        <v>911</v>
      </c>
      <c r="F23" t="s">
        <v>65</v>
      </c>
    </row>
    <row r="24" spans="1:6" x14ac:dyDescent="0.3">
      <c r="A24" t="s">
        <v>92</v>
      </c>
      <c r="B24" t="s">
        <v>81</v>
      </c>
      <c r="C24" t="s">
        <v>37</v>
      </c>
      <c r="D24">
        <v>1</v>
      </c>
      <c r="E24">
        <v>911</v>
      </c>
      <c r="F24" t="s">
        <v>65</v>
      </c>
    </row>
    <row r="25" spans="1:6" x14ac:dyDescent="0.3">
      <c r="A25" t="s">
        <v>92</v>
      </c>
      <c r="B25" t="s">
        <v>82</v>
      </c>
      <c r="C25" t="s">
        <v>37</v>
      </c>
      <c r="D25">
        <v>1</v>
      </c>
      <c r="E25">
        <v>911</v>
      </c>
      <c r="F25" t="s">
        <v>65</v>
      </c>
    </row>
    <row r="26" spans="1:6" x14ac:dyDescent="0.3">
      <c r="A26" t="s">
        <v>92</v>
      </c>
      <c r="B26" t="s">
        <v>83</v>
      </c>
      <c r="C26" t="s">
        <v>37</v>
      </c>
      <c r="D26">
        <v>1</v>
      </c>
      <c r="E26">
        <v>911</v>
      </c>
      <c r="F26" t="s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53</v>
      </c>
      <c r="C1" s="1" t="s">
        <v>31</v>
      </c>
      <c r="D1" s="1" t="s">
        <v>32</v>
      </c>
      <c r="E1" s="1" t="s">
        <v>95</v>
      </c>
    </row>
    <row r="2" spans="1:5" x14ac:dyDescent="0.3">
      <c r="A2" t="s">
        <v>96</v>
      </c>
      <c r="B2" t="s">
        <v>36</v>
      </c>
      <c r="C2" t="s">
        <v>37</v>
      </c>
      <c r="D2">
        <v>1</v>
      </c>
      <c r="E2">
        <v>3</v>
      </c>
    </row>
    <row r="3" spans="1:5" x14ac:dyDescent="0.3">
      <c r="A3" t="s">
        <v>96</v>
      </c>
      <c r="B3" t="s">
        <v>39</v>
      </c>
      <c r="C3" t="s">
        <v>37</v>
      </c>
      <c r="D3">
        <v>1</v>
      </c>
      <c r="E3">
        <v>2</v>
      </c>
    </row>
    <row r="4" spans="1:5" x14ac:dyDescent="0.3">
      <c r="A4" t="s">
        <v>96</v>
      </c>
      <c r="B4" t="s">
        <v>38</v>
      </c>
      <c r="C4" t="s">
        <v>37</v>
      </c>
      <c r="D4">
        <v>1</v>
      </c>
      <c r="E4">
        <v>4</v>
      </c>
    </row>
    <row r="5" spans="1:5" x14ac:dyDescent="0.3">
      <c r="A5" t="s">
        <v>96</v>
      </c>
      <c r="B5" t="s">
        <v>40</v>
      </c>
      <c r="C5" t="s">
        <v>37</v>
      </c>
      <c r="D5">
        <v>1</v>
      </c>
      <c r="E5">
        <v>5</v>
      </c>
    </row>
    <row r="6" spans="1:5" x14ac:dyDescent="0.3">
      <c r="A6" t="s">
        <v>96</v>
      </c>
      <c r="B6" t="s">
        <v>64</v>
      </c>
      <c r="C6" t="s">
        <v>37</v>
      </c>
      <c r="D6">
        <v>1</v>
      </c>
      <c r="E6">
        <v>5</v>
      </c>
    </row>
    <row r="7" spans="1:5" x14ac:dyDescent="0.3">
      <c r="A7" t="s">
        <v>96</v>
      </c>
      <c r="B7" t="s">
        <v>66</v>
      </c>
      <c r="C7" t="s">
        <v>37</v>
      </c>
      <c r="D7">
        <v>1</v>
      </c>
      <c r="E7">
        <v>5</v>
      </c>
    </row>
    <row r="8" spans="1:5" x14ac:dyDescent="0.3">
      <c r="A8" t="s">
        <v>96</v>
      </c>
      <c r="B8" t="s">
        <v>67</v>
      </c>
      <c r="C8" t="s">
        <v>37</v>
      </c>
      <c r="D8">
        <v>1</v>
      </c>
      <c r="E8">
        <v>5</v>
      </c>
    </row>
    <row r="9" spans="1:5" x14ac:dyDescent="0.3">
      <c r="A9" t="s">
        <v>96</v>
      </c>
      <c r="B9" t="s">
        <v>68</v>
      </c>
      <c r="C9" t="s">
        <v>37</v>
      </c>
      <c r="D9">
        <v>1</v>
      </c>
      <c r="E9">
        <v>5</v>
      </c>
    </row>
    <row r="10" spans="1:5" x14ac:dyDescent="0.3">
      <c r="A10" t="s">
        <v>96</v>
      </c>
      <c r="B10" t="s">
        <v>69</v>
      </c>
      <c r="C10" t="s">
        <v>37</v>
      </c>
      <c r="D10">
        <v>1</v>
      </c>
      <c r="E10">
        <v>5</v>
      </c>
    </row>
    <row r="11" spans="1:5" x14ac:dyDescent="0.3">
      <c r="A11" t="s">
        <v>96</v>
      </c>
      <c r="B11" t="s">
        <v>70</v>
      </c>
      <c r="C11" t="s">
        <v>37</v>
      </c>
      <c r="D11">
        <v>1</v>
      </c>
      <c r="E11">
        <v>5</v>
      </c>
    </row>
    <row r="12" spans="1:5" x14ac:dyDescent="0.3">
      <c r="A12" t="s">
        <v>96</v>
      </c>
      <c r="B12" t="s">
        <v>71</v>
      </c>
      <c r="C12" t="s">
        <v>37</v>
      </c>
      <c r="D12">
        <v>1</v>
      </c>
      <c r="E12">
        <v>5</v>
      </c>
    </row>
    <row r="13" spans="1:5" x14ac:dyDescent="0.3">
      <c r="A13" t="s">
        <v>96</v>
      </c>
      <c r="B13" t="s">
        <v>72</v>
      </c>
      <c r="C13" t="s">
        <v>37</v>
      </c>
      <c r="D13">
        <v>1</v>
      </c>
      <c r="E13">
        <v>5</v>
      </c>
    </row>
    <row r="14" spans="1:5" x14ac:dyDescent="0.3">
      <c r="A14" t="s">
        <v>96</v>
      </c>
      <c r="B14" t="s">
        <v>73</v>
      </c>
      <c r="C14" t="s">
        <v>37</v>
      </c>
      <c r="D14">
        <v>1</v>
      </c>
      <c r="E14">
        <v>5</v>
      </c>
    </row>
    <row r="15" spans="1:5" x14ac:dyDescent="0.3">
      <c r="A15" t="s">
        <v>96</v>
      </c>
      <c r="B15" t="s">
        <v>74</v>
      </c>
      <c r="C15" t="s">
        <v>37</v>
      </c>
      <c r="D15">
        <v>1</v>
      </c>
      <c r="E15">
        <v>5</v>
      </c>
    </row>
    <row r="16" spans="1:5" x14ac:dyDescent="0.3">
      <c r="A16" t="s">
        <v>96</v>
      </c>
      <c r="B16" t="s">
        <v>75</v>
      </c>
      <c r="C16" t="s">
        <v>37</v>
      </c>
      <c r="D16">
        <v>1</v>
      </c>
      <c r="E16">
        <v>5</v>
      </c>
    </row>
    <row r="17" spans="1:5" x14ac:dyDescent="0.3">
      <c r="A17" t="s">
        <v>96</v>
      </c>
      <c r="B17" t="s">
        <v>76</v>
      </c>
      <c r="C17" t="s">
        <v>37</v>
      </c>
      <c r="D17">
        <v>1</v>
      </c>
      <c r="E17">
        <v>5</v>
      </c>
    </row>
    <row r="18" spans="1:5" x14ac:dyDescent="0.3">
      <c r="A18" t="s">
        <v>96</v>
      </c>
      <c r="B18" t="s">
        <v>77</v>
      </c>
      <c r="C18" t="s">
        <v>37</v>
      </c>
      <c r="D18">
        <v>1</v>
      </c>
      <c r="E18">
        <v>5</v>
      </c>
    </row>
    <row r="19" spans="1:5" x14ac:dyDescent="0.3">
      <c r="A19" t="s">
        <v>96</v>
      </c>
      <c r="B19" t="s">
        <v>78</v>
      </c>
      <c r="C19" t="s">
        <v>37</v>
      </c>
      <c r="D19">
        <v>1</v>
      </c>
      <c r="E19">
        <v>5</v>
      </c>
    </row>
    <row r="20" spans="1:5" x14ac:dyDescent="0.3">
      <c r="A20" t="s">
        <v>96</v>
      </c>
      <c r="B20" t="s">
        <v>79</v>
      </c>
      <c r="C20" t="s">
        <v>37</v>
      </c>
      <c r="D20">
        <v>1</v>
      </c>
      <c r="E20">
        <v>5</v>
      </c>
    </row>
    <row r="21" spans="1:5" x14ac:dyDescent="0.3">
      <c r="A21" t="s">
        <v>96</v>
      </c>
      <c r="B21" t="s">
        <v>80</v>
      </c>
      <c r="C21" t="s">
        <v>37</v>
      </c>
      <c r="D21">
        <v>1</v>
      </c>
      <c r="E21">
        <v>5</v>
      </c>
    </row>
    <row r="22" spans="1:5" x14ac:dyDescent="0.3">
      <c r="A22" t="s">
        <v>96</v>
      </c>
      <c r="B22" t="s">
        <v>81</v>
      </c>
      <c r="C22" t="s">
        <v>37</v>
      </c>
      <c r="D22">
        <v>1</v>
      </c>
      <c r="E22">
        <v>5</v>
      </c>
    </row>
    <row r="23" spans="1:5" x14ac:dyDescent="0.3">
      <c r="A23" t="s">
        <v>96</v>
      </c>
      <c r="B23" t="s">
        <v>82</v>
      </c>
      <c r="C23" t="s">
        <v>37</v>
      </c>
      <c r="D23">
        <v>1</v>
      </c>
      <c r="E23">
        <v>5</v>
      </c>
    </row>
    <row r="24" spans="1:5" x14ac:dyDescent="0.3">
      <c r="A24" t="s">
        <v>96</v>
      </c>
      <c r="B24" t="s">
        <v>83</v>
      </c>
      <c r="C24" t="s">
        <v>37</v>
      </c>
      <c r="D24">
        <v>1</v>
      </c>
      <c r="E24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53</v>
      </c>
      <c r="C1" s="1" t="s">
        <v>31</v>
      </c>
      <c r="D1" s="1" t="s">
        <v>32</v>
      </c>
      <c r="E1" s="1" t="s">
        <v>97</v>
      </c>
    </row>
    <row r="2" spans="1:5" x14ac:dyDescent="0.3">
      <c r="A2" t="s">
        <v>98</v>
      </c>
      <c r="B2" t="s">
        <v>36</v>
      </c>
      <c r="C2" t="s">
        <v>37</v>
      </c>
      <c r="D2">
        <v>1</v>
      </c>
      <c r="E2">
        <v>3</v>
      </c>
    </row>
    <row r="3" spans="1:5" x14ac:dyDescent="0.3">
      <c r="A3" t="s">
        <v>98</v>
      </c>
      <c r="B3" t="s">
        <v>39</v>
      </c>
      <c r="C3" t="s">
        <v>37</v>
      </c>
      <c r="D3">
        <v>1</v>
      </c>
      <c r="E3">
        <v>2</v>
      </c>
    </row>
    <row r="4" spans="1:5" x14ac:dyDescent="0.3">
      <c r="A4" t="s">
        <v>98</v>
      </c>
      <c r="B4" t="s">
        <v>38</v>
      </c>
      <c r="C4" t="s">
        <v>37</v>
      </c>
      <c r="D4">
        <v>1</v>
      </c>
      <c r="E4">
        <v>1</v>
      </c>
    </row>
    <row r="5" spans="1:5" x14ac:dyDescent="0.3">
      <c r="A5" t="s">
        <v>98</v>
      </c>
      <c r="B5" t="s">
        <v>40</v>
      </c>
      <c r="C5" t="s">
        <v>37</v>
      </c>
      <c r="D5">
        <v>1</v>
      </c>
      <c r="E5">
        <v>3</v>
      </c>
    </row>
    <row r="6" spans="1:5" x14ac:dyDescent="0.3">
      <c r="A6" t="s">
        <v>98</v>
      </c>
      <c r="B6" t="s">
        <v>41</v>
      </c>
      <c r="C6" t="s">
        <v>37</v>
      </c>
      <c r="D6">
        <v>1</v>
      </c>
      <c r="E6">
        <v>-4</v>
      </c>
    </row>
    <row r="7" spans="1:5" x14ac:dyDescent="0.3">
      <c r="A7" t="s">
        <v>98</v>
      </c>
      <c r="B7" t="s">
        <v>42</v>
      </c>
      <c r="C7" t="s">
        <v>37</v>
      </c>
      <c r="D7">
        <v>1</v>
      </c>
      <c r="E7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4.4" x14ac:dyDescent="0.3"/>
  <sheetData>
    <row r="1" spans="1:7" x14ac:dyDescent="0.3">
      <c r="A1" s="1" t="s">
        <v>31</v>
      </c>
      <c r="B1" s="1" t="s">
        <v>32</v>
      </c>
      <c r="C1" s="1" t="s">
        <v>30</v>
      </c>
      <c r="D1" s="1" t="s">
        <v>49</v>
      </c>
      <c r="E1" s="1" t="s">
        <v>99</v>
      </c>
      <c r="F1" s="1" t="s">
        <v>100</v>
      </c>
      <c r="G1" s="1" t="s">
        <v>101</v>
      </c>
    </row>
    <row r="2" spans="1:7" x14ac:dyDescent="0.3">
      <c r="A2" t="s">
        <v>37</v>
      </c>
      <c r="B2">
        <v>1</v>
      </c>
      <c r="C2" t="s">
        <v>36</v>
      </c>
      <c r="D2">
        <v>1</v>
      </c>
      <c r="E2" t="s">
        <v>58</v>
      </c>
      <c r="F2" t="s">
        <v>86</v>
      </c>
      <c r="G2">
        <v>3</v>
      </c>
    </row>
    <row r="3" spans="1:7" x14ac:dyDescent="0.3">
      <c r="A3" t="s">
        <v>37</v>
      </c>
      <c r="B3">
        <v>1</v>
      </c>
      <c r="C3" t="s">
        <v>38</v>
      </c>
      <c r="D3">
        <v>2</v>
      </c>
      <c r="E3" t="s">
        <v>60</v>
      </c>
      <c r="F3" t="s">
        <v>88</v>
      </c>
      <c r="G3">
        <v>4</v>
      </c>
    </row>
    <row r="4" spans="1:7" x14ac:dyDescent="0.3">
      <c r="A4" t="s">
        <v>37</v>
      </c>
      <c r="B4">
        <v>1</v>
      </c>
      <c r="C4" t="s">
        <v>41</v>
      </c>
      <c r="D4">
        <v>3</v>
      </c>
      <c r="E4" t="s">
        <v>62</v>
      </c>
      <c r="F4" t="s">
        <v>90</v>
      </c>
      <c r="G4">
        <v>0</v>
      </c>
    </row>
    <row r="5" spans="1:7" x14ac:dyDescent="0.3">
      <c r="A5" t="s">
        <v>37</v>
      </c>
      <c r="B5">
        <v>1</v>
      </c>
      <c r="C5" t="s">
        <v>39</v>
      </c>
      <c r="D5">
        <v>4</v>
      </c>
      <c r="E5" t="s">
        <v>59</v>
      </c>
      <c r="F5" t="s">
        <v>87</v>
      </c>
      <c r="G5">
        <v>2</v>
      </c>
    </row>
    <row r="6" spans="1:7" x14ac:dyDescent="0.3">
      <c r="A6" t="s">
        <v>37</v>
      </c>
      <c r="B6">
        <v>1</v>
      </c>
      <c r="C6" t="s">
        <v>40</v>
      </c>
      <c r="D6">
        <v>5</v>
      </c>
      <c r="E6" t="s">
        <v>61</v>
      </c>
      <c r="F6" t="s">
        <v>89</v>
      </c>
      <c r="G6">
        <v>5</v>
      </c>
    </row>
    <row r="7" spans="1:7" x14ac:dyDescent="0.3">
      <c r="A7" t="s">
        <v>37</v>
      </c>
      <c r="B7">
        <v>1</v>
      </c>
      <c r="C7" t="s">
        <v>42</v>
      </c>
      <c r="D7">
        <v>6</v>
      </c>
      <c r="E7" t="s">
        <v>63</v>
      </c>
      <c r="F7" t="s">
        <v>91</v>
      </c>
      <c r="G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optimization_results</vt:lpstr>
      <vt:lpstr>x_ijkr</vt:lpstr>
      <vt:lpstr>f_pkr</vt:lpstr>
      <vt:lpstr>u_jkr</vt:lpstr>
      <vt:lpstr>z_kr</vt:lpstr>
      <vt:lpstr>w_p</vt:lpstr>
      <vt:lpstr>ta</vt:lpstr>
      <vt:lpstr>td</vt:lpstr>
      <vt:lpstr>ts</vt:lpstr>
      <vt:lpstr>y_jkr</vt:lpstr>
      <vt:lpstr>delta_jkr</vt:lpstr>
      <vt:lpstr>itinerary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2026-04-24T14:20:58Z</dcterms:created>
  <dcterms:modified xsi:type="dcterms:W3CDTF">2026-04-25T12:45:15Z</dcterms:modified>
</cp:coreProperties>
</file>