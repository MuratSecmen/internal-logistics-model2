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D4" i="1"/>
  <c r="E4" i="1"/>
  <c r="D2" i="1" l="1"/>
  <c r="E2" i="1" l="1"/>
</calcChain>
</file>

<file path=xl/sharedStrings.xml><?xml version="1.0" encoding="utf-8"?>
<sst xmlns="http://schemas.openxmlformats.org/spreadsheetml/2006/main" count="31" uniqueCount="27">
  <si>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</si>
  <si>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</si>
  <si>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</si>
  <si>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</si>
  <si>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</si>
  <si>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</si>
  <si>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</si>
  <si>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</si>
  <si>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</si>
  <si>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</si>
  <si>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</si>
  <si>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</si>
  <si>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</si>
  <si>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</si>
  <si>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</si>
  <si>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</si>
  <si>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</si>
  <si>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</si>
  <si>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</si>
  <si>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</si>
  <si>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</si>
  <si>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f1</t>
  </si>
  <si>
    <t>f2</t>
  </si>
  <si>
    <t>min_waiting_plus_0.001_times_F1</t>
  </si>
  <si>
    <t>total_route_duration_F1</t>
  </si>
  <si>
    <t>f1_weight_in_objective</t>
  </si>
  <si>
    <t>return_limit_slack_min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</si>
</sst>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4P_Case</a:t>
            </a:r>
            <a:r>
              <a:rPr lang="tr-TR" sz="1400" b="1" baseline="0"/>
              <a:t> 2 </a:t>
            </a:r>
            <a:r>
              <a:rPr lang="tr-TR" sz="1400" b="1"/>
              <a:t>Pareto</a:t>
            </a:r>
            <a:r>
              <a:rPr lang="tr-TR" sz="1400" b="1" baseline="0"/>
              <a:t> Front Eğrisi_2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Sayfa1!$D$2:$D$4</c:f>
              <c:numCache>
                <c:formatCode>0.00</c:formatCode>
                <c:ptCount val="3"/>
                <c:pt idx="0">
                  <c:v>67.58</c:v>
                </c:pt>
                <c:pt idx="1">
                  <c:v>70.580000000000013</c:v>
                </c:pt>
                <c:pt idx="2">
                  <c:v>76.58</c:v>
                </c:pt>
              </c:numCache>
            </c:numRef>
          </c:xVal>
          <c:yVal>
            <c:numRef>
              <c:f>Sayfa1!$E$2:$E$4</c:f>
              <c:numCache>
                <c:formatCode>0.00</c:formatCode>
                <c:ptCount val="3"/>
                <c:pt idx="0">
                  <c:v>68</c:v>
                </c:pt>
                <c:pt idx="1">
                  <c:v>71</c:v>
                </c:pt>
                <c:pt idx="2">
                  <c:v>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082032"/>
        <c:axId val="1734085840"/>
      </c:scatterChart>
      <c:valAx>
        <c:axId val="173408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</a:t>
                </a:r>
                <a:r>
                  <a:rPr lang="tr-TR" baseline="0"/>
                  <a:t> Dönüş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4085840"/>
        <c:crosses val="autoZero"/>
        <c:crossBetween val="midCat"/>
      </c:valAx>
      <c:valAx>
        <c:axId val="173408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 Süresi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408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1935480</xdr:colOff>
      <xdr:row>7</xdr:row>
      <xdr:rowOff>133350</xdr:rowOff>
    </xdr:from>
    <xdr:to>
      <xdr:col>9</xdr:col>
      <xdr:colOff>525780</xdr:colOff>
      <xdr:row>22</xdr:row>
      <xdr:rowOff>133350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workbookViewId="0">
      <selection activeCell="M1" sqref="M1:M1048576"/>
    </sheetView>
  </sheetViews>
  <sheetFormatPr defaultRowHeight="14.4" x14ac:dyDescent="0.3"/>
  <cols>
    <col min="1" max="1" width="16.44140625" bestFit="1" customWidth="1"/>
    <col min="2" max="2" width="29.5546875" bestFit="1" customWidth="1"/>
    <col min="3" max="3" width="9.33203125" bestFit="1" customWidth="1"/>
    <col min="4" max="5" width="5.44140625" bestFit="1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21.88671875" bestFit="1" customWidth="1"/>
    <col min="13" max="13" width="20.88671875" bestFit="1" customWidth="1"/>
    <col min="14" max="14" width="20.44140625" bestFit="1" customWidth="1"/>
    <col min="15" max="15" width="4.33203125" bestFit="1" customWidth="1"/>
    <col min="16" max="16" width="5.77734375" bestFit="1" customWidth="1"/>
    <col min="17" max="19" width="4.109375" bestFit="1" customWidth="1"/>
    <col min="20" max="20" width="9.44140625" bestFit="1" customWidth="1"/>
    <col min="21" max="25" width="5.777343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24</v>
      </c>
      <c r="M1" s="1" t="s">
        <v>25</v>
      </c>
      <c r="N1" s="1" t="s">
        <v>26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</row>
    <row r="2" spans="1:26" x14ac:dyDescent="0.3">
      <c r="A2" t="s">
        <v>20</v>
      </c>
      <c r="B2" t="s">
        <v>23</v>
      </c>
      <c r="C2" s="2">
        <v>68.072999999999993</v>
      </c>
      <c r="D2" s="2">
        <f>C2-(K2*1/1000)</f>
        <v>67.58</v>
      </c>
      <c r="E2" s="2">
        <f>J2</f>
        <v>68</v>
      </c>
      <c r="F2" s="2">
        <v>68.072999999959848</v>
      </c>
      <c r="G2" s="2">
        <v>0</v>
      </c>
      <c r="H2" s="2">
        <v>2.8000116348266602E-2</v>
      </c>
      <c r="I2">
        <v>2</v>
      </c>
      <c r="J2">
        <v>68</v>
      </c>
      <c r="K2">
        <v>493</v>
      </c>
      <c r="L2">
        <v>73</v>
      </c>
      <c r="M2">
        <v>9999</v>
      </c>
      <c r="N2">
        <v>1E-3</v>
      </c>
      <c r="O2">
        <v>9506</v>
      </c>
      <c r="P2">
        <v>26</v>
      </c>
      <c r="Q2">
        <v>25</v>
      </c>
      <c r="R2">
        <v>1</v>
      </c>
      <c r="S2">
        <v>1</v>
      </c>
      <c r="T2">
        <v>1</v>
      </c>
      <c r="U2">
        <v>25</v>
      </c>
      <c r="V2">
        <v>491</v>
      </c>
      <c r="W2">
        <v>480</v>
      </c>
      <c r="X2">
        <v>465</v>
      </c>
      <c r="Y2">
        <v>20</v>
      </c>
      <c r="Z2">
        <v>20</v>
      </c>
    </row>
    <row r="3" spans="1:26" x14ac:dyDescent="0.3">
      <c r="A3" t="s">
        <v>20</v>
      </c>
      <c r="B3" t="s">
        <v>23</v>
      </c>
      <c r="C3" s="2">
        <v>71.070000000000007</v>
      </c>
      <c r="D3" s="2">
        <f t="shared" ref="D3:D4" si="0">C3-(K3*1/1000)</f>
        <v>70.580000000000013</v>
      </c>
      <c r="E3" s="2">
        <f t="shared" ref="E3:E4" si="1">J3</f>
        <v>71</v>
      </c>
      <c r="F3" s="2">
        <v>71.069999999991978</v>
      </c>
      <c r="G3" s="2">
        <v>0</v>
      </c>
      <c r="H3" s="2">
        <v>2.5000095367431641E-2</v>
      </c>
      <c r="I3">
        <v>2</v>
      </c>
      <c r="J3">
        <v>71</v>
      </c>
      <c r="K3">
        <v>490</v>
      </c>
      <c r="L3">
        <v>70</v>
      </c>
      <c r="M3">
        <v>492</v>
      </c>
      <c r="N3">
        <v>1E-3</v>
      </c>
      <c r="O3">
        <v>2</v>
      </c>
      <c r="P3">
        <v>26</v>
      </c>
      <c r="Q3">
        <v>25</v>
      </c>
      <c r="R3">
        <v>1</v>
      </c>
      <c r="S3">
        <v>1</v>
      </c>
      <c r="T3">
        <v>1</v>
      </c>
      <c r="U3">
        <v>25</v>
      </c>
      <c r="V3">
        <v>491</v>
      </c>
      <c r="W3">
        <v>480</v>
      </c>
      <c r="X3">
        <v>465</v>
      </c>
      <c r="Y3">
        <v>20</v>
      </c>
      <c r="Z3">
        <v>20</v>
      </c>
    </row>
    <row r="4" spans="1:26" x14ac:dyDescent="0.3">
      <c r="A4" t="s">
        <v>20</v>
      </c>
      <c r="B4" t="s">
        <v>23</v>
      </c>
      <c r="C4" s="2">
        <v>77.069000000000003</v>
      </c>
      <c r="D4" s="2">
        <f t="shared" si="0"/>
        <v>76.58</v>
      </c>
      <c r="E4" s="2">
        <f t="shared" si="1"/>
        <v>77</v>
      </c>
      <c r="F4" s="2">
        <v>77.068999999994503</v>
      </c>
      <c r="G4" s="2">
        <v>0</v>
      </c>
      <c r="H4" s="2">
        <v>2.9000043869018551E-2</v>
      </c>
      <c r="I4">
        <v>2</v>
      </c>
      <c r="J4">
        <v>77</v>
      </c>
      <c r="K4">
        <v>489</v>
      </c>
      <c r="L4">
        <v>69</v>
      </c>
      <c r="M4">
        <v>489</v>
      </c>
      <c r="N4">
        <v>1E-3</v>
      </c>
      <c r="O4">
        <v>0</v>
      </c>
      <c r="P4">
        <v>26</v>
      </c>
      <c r="Q4">
        <v>25</v>
      </c>
      <c r="R4">
        <v>1</v>
      </c>
      <c r="S4">
        <v>1</v>
      </c>
      <c r="T4">
        <v>1</v>
      </c>
      <c r="U4">
        <v>25</v>
      </c>
      <c r="V4">
        <v>491</v>
      </c>
      <c r="W4">
        <v>480</v>
      </c>
      <c r="X4">
        <v>465</v>
      </c>
      <c r="Y4">
        <v>20</v>
      </c>
      <c r="Z4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2026-04-24T20:01:02Z</dcterms:modified>
</cp:coreProperties>
</file>