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E2" i="1" l="1"/>
  <c r="D2" i="1"/>
</calcChain>
</file>

<file path=xl/sharedStrings.xml><?xml version="1.0" encoding="utf-8"?>
<sst xmlns="http://schemas.openxmlformats.org/spreadsheetml/2006/main" count="34" uniqueCount="26">
  <si>
    <t>model</t>
  </si>
  <si>
    <t>objective</t>
  </si>
  <si>
    <t>obj_value</t>
  </si>
  <si>
    <t>best_bound</t>
  </si>
  <si>
    <t>mip_gap</t>
  </si>
  <si>
    <t>runtime</t>
  </si>
  <si>
    <t>status</t>
  </si>
  <si>
    <t>total_wait_minutes</t>
  </si>
  <si>
    <t>total_arrival_times</t>
  </si>
  <si>
    <t>epsilon_wait_upper</t>
  </si>
  <si>
    <t>wait_slack_remaining</t>
  </si>
  <si>
    <t>|N|</t>
  </si>
  <si>
    <t>|Nw|</t>
  </si>
  <si>
    <t>|K|</t>
  </si>
  <si>
    <t>|R|</t>
  </si>
  <si>
    <t>KxR</t>
  </si>
  <si>
    <t>U_(|Nw|)</t>
  </si>
  <si>
    <t>M_16</t>
  </si>
  <si>
    <t>M_20</t>
  </si>
  <si>
    <t>M_22</t>
  </si>
  <si>
    <t>M_24</t>
  </si>
  <si>
    <t>M_25</t>
  </si>
  <si>
    <t>tight_M_optimized</t>
  </si>
  <si>
    <t>min_total_arrival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</si>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</sst>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/>
              <a:t>6P_Case</a:t>
            </a:r>
            <a:r>
              <a:rPr lang="tr-TR" sz="1400" b="1" baseline="0"/>
              <a:t> 1 </a:t>
            </a:r>
            <a:r>
              <a:rPr lang="tr-TR" sz="1400" b="1"/>
              <a:t>Pareto</a:t>
            </a:r>
            <a:r>
              <a:rPr lang="tr-TR" sz="1400" b="1" baseline="0"/>
              <a:t> Front Eğrisi</a:t>
            </a:r>
            <a:endParaRPr lang="en-US" sz="1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Sayfa1!$E$1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Sayfa1!$D$2:$D$6</c:f>
              <c:numCache>
                <c:formatCode>0.00</c:formatCode>
                <c:ptCount val="5"/>
                <c:pt idx="0">
                  <c:v>82.000000000000014</c:v>
                </c:pt>
                <c:pt idx="1">
                  <c:v>82.999999999999886</c:v>
                </c:pt>
                <c:pt idx="2">
                  <c:v>85.000000000000028</c:v>
                </c:pt>
                <c:pt idx="3">
                  <c:v>86.999999999999957</c:v>
                </c:pt>
                <c:pt idx="4">
                  <c:v>86.999999999999957</c:v>
                </c:pt>
              </c:numCache>
            </c:numRef>
          </c:xVal>
          <c:yVal>
            <c:numRef>
              <c:f>Sayfa1!$E$2:$E$6</c:f>
              <c:numCache>
                <c:formatCode>0.00</c:formatCode>
                <c:ptCount val="5"/>
                <c:pt idx="0">
                  <c:v>187</c:v>
                </c:pt>
                <c:pt idx="1">
                  <c:v>178</c:v>
                </c:pt>
                <c:pt idx="2">
                  <c:v>174</c:v>
                </c:pt>
                <c:pt idx="3">
                  <c:v>170</c:v>
                </c:pt>
                <c:pt idx="4">
                  <c:v>170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8737936"/>
        <c:axId val="-1961492048"/>
      </c:scatterChart>
      <c:valAx>
        <c:axId val="-207873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Parça Toplam Bekleme</a:t>
                </a:r>
                <a:r>
                  <a:rPr lang="tr-TR" baseline="0"/>
                  <a:t>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961492048"/>
        <c:crosses val="autoZero"/>
        <c:crossBetween val="midCat"/>
      </c:valAx>
      <c:valAx>
        <c:axId val="-196149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Depoya Dönüş</a:t>
                </a:r>
                <a:r>
                  <a:rPr lang="tr-TR" baseline="0"/>
                  <a:t>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207873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9</xdr:row>
      <xdr:rowOff>125730</xdr:rowOff>
    </xdr:from>
    <xdr:to>
      <xdr:col>9</xdr:col>
      <xdr:colOff>594360</xdr:colOff>
      <xdr:row>24</xdr:row>
      <xdr:rowOff>125730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tabSelected="1" workbookViewId="0">
      <selection activeCell="C2" sqref="C2:H6"/>
    </sheetView>
  </sheetViews>
  <sheetFormatPr defaultRowHeight="14.4" x14ac:dyDescent="0.3"/>
  <cols>
    <col min="1" max="1" width="16.44140625" bestFit="1" customWidth="1"/>
    <col min="2" max="2" width="15.109375" bestFit="1" customWidth="1"/>
    <col min="3" max="3" width="9.33203125" bestFit="1" customWidth="1"/>
    <col min="4" max="5" width="9.33203125" customWidth="1"/>
    <col min="6" max="6" width="11.109375" bestFit="1" customWidth="1"/>
    <col min="7" max="7" width="8.33203125" bestFit="1" customWidth="1"/>
    <col min="8" max="8" width="12" bestFit="1" customWidth="1"/>
    <col min="9" max="9" width="6" bestFit="1" customWidth="1"/>
    <col min="10" max="10" width="17.44140625" bestFit="1" customWidth="1"/>
    <col min="11" max="11" width="16.77734375" bestFit="1" customWidth="1"/>
    <col min="12" max="12" width="17.77734375" bestFit="1" customWidth="1"/>
    <col min="13" max="13" width="19.33203125" bestFit="1" customWidth="1"/>
    <col min="14" max="14" width="4.33203125" bestFit="1" customWidth="1"/>
    <col min="15" max="15" width="5.77734375" bestFit="1" customWidth="1"/>
    <col min="16" max="18" width="4.109375" bestFit="1" customWidth="1"/>
    <col min="19" max="19" width="9.44140625" bestFit="1" customWidth="1"/>
    <col min="20" max="24" width="5.77734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3">
      <c r="A2" t="s">
        <v>22</v>
      </c>
      <c r="B2" t="s">
        <v>23</v>
      </c>
      <c r="C2" s="2">
        <v>82.187000000000012</v>
      </c>
      <c r="D2" s="2">
        <f>C2-(J2*1/1000)</f>
        <v>82.000000000000014</v>
      </c>
      <c r="E2" s="2">
        <f>J2</f>
        <v>187</v>
      </c>
      <c r="F2" s="2">
        <v>82.187000000000012</v>
      </c>
      <c r="G2" s="2">
        <v>0</v>
      </c>
      <c r="H2" s="2">
        <v>803.45599985122681</v>
      </c>
      <c r="I2">
        <v>2</v>
      </c>
      <c r="J2">
        <v>187</v>
      </c>
      <c r="K2">
        <v>502</v>
      </c>
      <c r="L2">
        <v>9999</v>
      </c>
      <c r="M2">
        <v>9812</v>
      </c>
      <c r="N2">
        <v>26</v>
      </c>
      <c r="O2">
        <v>25</v>
      </c>
      <c r="P2">
        <v>1</v>
      </c>
      <c r="Q2">
        <v>1</v>
      </c>
      <c r="R2">
        <v>1</v>
      </c>
      <c r="S2">
        <v>25</v>
      </c>
      <c r="T2">
        <v>491</v>
      </c>
      <c r="U2">
        <v>480</v>
      </c>
      <c r="V2">
        <v>480</v>
      </c>
      <c r="W2">
        <v>20</v>
      </c>
      <c r="X2">
        <v>20</v>
      </c>
    </row>
    <row r="3" spans="1:24" x14ac:dyDescent="0.3">
      <c r="A3" t="s">
        <v>22</v>
      </c>
      <c r="B3" t="s">
        <v>23</v>
      </c>
      <c r="C3" s="2">
        <v>83.177999999999884</v>
      </c>
      <c r="D3" s="2">
        <f t="shared" ref="D3:D6" si="0">C3-(J3*1/1000)</f>
        <v>82.999999999999886</v>
      </c>
      <c r="E3" s="2">
        <f t="shared" ref="E3:E6" si="1">J3</f>
        <v>178</v>
      </c>
      <c r="F3" s="2">
        <v>83.177999999999884</v>
      </c>
      <c r="G3" s="2">
        <v>0</v>
      </c>
      <c r="H3" s="2">
        <v>692.02900004386902</v>
      </c>
      <c r="I3">
        <v>2</v>
      </c>
      <c r="J3">
        <v>178</v>
      </c>
      <c r="K3">
        <v>503</v>
      </c>
      <c r="L3">
        <v>186</v>
      </c>
      <c r="M3">
        <v>8</v>
      </c>
      <c r="N3">
        <v>26</v>
      </c>
      <c r="O3">
        <v>25</v>
      </c>
      <c r="P3">
        <v>1</v>
      </c>
      <c r="Q3">
        <v>1</v>
      </c>
      <c r="R3">
        <v>1</v>
      </c>
      <c r="S3">
        <v>25</v>
      </c>
      <c r="T3">
        <v>491</v>
      </c>
      <c r="U3">
        <v>480</v>
      </c>
      <c r="V3">
        <v>480</v>
      </c>
      <c r="W3">
        <v>20</v>
      </c>
      <c r="X3">
        <v>20</v>
      </c>
    </row>
    <row r="4" spans="1:24" x14ac:dyDescent="0.3">
      <c r="A4" t="s">
        <v>22</v>
      </c>
      <c r="B4" t="s">
        <v>23</v>
      </c>
      <c r="C4" s="2">
        <v>85.174000000000035</v>
      </c>
      <c r="D4" s="2">
        <f t="shared" si="0"/>
        <v>85.000000000000028</v>
      </c>
      <c r="E4" s="2">
        <f t="shared" si="1"/>
        <v>174</v>
      </c>
      <c r="F4" s="2">
        <v>85.173999999999637</v>
      </c>
      <c r="G4" s="2">
        <v>0</v>
      </c>
      <c r="H4" s="2">
        <v>1063.499000072479</v>
      </c>
      <c r="I4">
        <v>2</v>
      </c>
      <c r="J4">
        <v>174</v>
      </c>
      <c r="K4">
        <v>505</v>
      </c>
      <c r="L4">
        <v>177</v>
      </c>
      <c r="M4">
        <v>3</v>
      </c>
      <c r="N4">
        <v>26</v>
      </c>
      <c r="O4">
        <v>25</v>
      </c>
      <c r="P4">
        <v>1</v>
      </c>
      <c r="Q4">
        <v>1</v>
      </c>
      <c r="R4">
        <v>1</v>
      </c>
      <c r="S4">
        <v>25</v>
      </c>
      <c r="T4">
        <v>491</v>
      </c>
      <c r="U4">
        <v>480</v>
      </c>
      <c r="V4">
        <v>480</v>
      </c>
      <c r="W4">
        <v>20</v>
      </c>
      <c r="X4">
        <v>20</v>
      </c>
    </row>
    <row r="5" spans="1:24" x14ac:dyDescent="0.3">
      <c r="A5" t="s">
        <v>22</v>
      </c>
      <c r="B5" t="s">
        <v>23</v>
      </c>
      <c r="C5" s="2">
        <v>87.169999999999959</v>
      </c>
      <c r="D5" s="2">
        <f t="shared" si="0"/>
        <v>86.999999999999957</v>
      </c>
      <c r="E5" s="2">
        <f t="shared" si="1"/>
        <v>170</v>
      </c>
      <c r="F5" s="2">
        <v>63.065999999999413</v>
      </c>
      <c r="G5" s="2">
        <v>0.27651715039578478</v>
      </c>
      <c r="H5" s="2">
        <v>1200.0939998626709</v>
      </c>
      <c r="I5">
        <v>9</v>
      </c>
      <c r="J5">
        <v>170</v>
      </c>
      <c r="K5">
        <v>507</v>
      </c>
      <c r="L5">
        <v>173</v>
      </c>
      <c r="M5">
        <v>3</v>
      </c>
      <c r="N5">
        <v>26</v>
      </c>
      <c r="O5">
        <v>25</v>
      </c>
      <c r="P5">
        <v>1</v>
      </c>
      <c r="Q5">
        <v>1</v>
      </c>
      <c r="R5">
        <v>1</v>
      </c>
      <c r="S5">
        <v>25</v>
      </c>
      <c r="T5">
        <v>491</v>
      </c>
      <c r="U5">
        <v>480</v>
      </c>
      <c r="V5">
        <v>480</v>
      </c>
      <c r="W5">
        <v>20</v>
      </c>
      <c r="X5">
        <v>20</v>
      </c>
    </row>
    <row r="6" spans="1:24" x14ac:dyDescent="0.3">
      <c r="A6" t="s">
        <v>22</v>
      </c>
      <c r="B6" t="s">
        <v>23</v>
      </c>
      <c r="C6" s="2">
        <v>87.169999999999959</v>
      </c>
      <c r="D6" s="2">
        <f t="shared" si="0"/>
        <v>86.999999999999957</v>
      </c>
      <c r="E6" s="2">
        <f t="shared" si="1"/>
        <v>170</v>
      </c>
      <c r="F6" s="2">
        <v>87.169999988346319</v>
      </c>
      <c r="G6" s="2">
        <v>1.3368865241379881E-10</v>
      </c>
      <c r="H6" s="2">
        <v>953.01800012588501</v>
      </c>
      <c r="I6">
        <v>2</v>
      </c>
      <c r="J6">
        <v>170</v>
      </c>
      <c r="K6">
        <v>507</v>
      </c>
      <c r="L6">
        <v>170</v>
      </c>
      <c r="M6">
        <v>0</v>
      </c>
      <c r="N6">
        <v>26</v>
      </c>
      <c r="O6">
        <v>25</v>
      </c>
      <c r="P6">
        <v>1</v>
      </c>
      <c r="Q6">
        <v>1</v>
      </c>
      <c r="R6">
        <v>1</v>
      </c>
      <c r="S6">
        <v>25</v>
      </c>
      <c r="T6">
        <v>491</v>
      </c>
      <c r="U6">
        <v>480</v>
      </c>
      <c r="V6">
        <v>480</v>
      </c>
      <c r="W6">
        <v>20</v>
      </c>
      <c r="X6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2026-04-24T19:25:04Z</dcterms:modified>
</cp:coreProperties>
</file>